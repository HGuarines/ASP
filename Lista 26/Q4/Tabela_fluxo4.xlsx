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Documents\Codar\ASP\Lista 26\Q4\"/>
    </mc:Choice>
  </mc:AlternateContent>
  <xr:revisionPtr revIDLastSave="0" documentId="13_ncr:1_{47A04EF8-3A4A-44F3-BA6E-7498D339E670}" xr6:coauthVersionLast="47" xr6:coauthVersionMax="47" xr10:uidLastSave="{00000000-0000-0000-0000-000000000000}"/>
  <bookViews>
    <workbookView xWindow="9945" yWindow="5205" windowWidth="12300" windowHeight="6795" activeTab="1" xr2:uid="{00000000-000D-0000-FFFF-FFFF00000000}"/>
  </bookViews>
  <sheets>
    <sheet name="fluxo_carga" sheetId="1" r:id="rId1"/>
    <sheet name="Y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C6" i="2"/>
  <c r="E5" i="2"/>
  <c r="D5" i="2"/>
  <c r="C5" i="2"/>
  <c r="E4" i="2"/>
  <c r="D4" i="2"/>
  <c r="C4" i="2"/>
  <c r="D3" i="2"/>
  <c r="C3" i="2"/>
  <c r="E2" i="1"/>
</calcChain>
</file>

<file path=xl/sharedStrings.xml><?xml version="1.0" encoding="utf-8"?>
<sst xmlns="http://schemas.openxmlformats.org/spreadsheetml/2006/main" count="17" uniqueCount="16">
  <si>
    <t>n_barra</t>
  </si>
  <si>
    <t>tipo_barra</t>
  </si>
  <si>
    <t>Ei</t>
  </si>
  <si>
    <t>Fi</t>
  </si>
  <si>
    <t>Pgi</t>
  </si>
  <si>
    <t>Qgi</t>
  </si>
  <si>
    <t>Pci</t>
  </si>
  <si>
    <t>Qci</t>
  </si>
  <si>
    <t>PV</t>
  </si>
  <si>
    <t>PQ</t>
  </si>
  <si>
    <t>swing</t>
  </si>
  <si>
    <t>de_barra</t>
  </si>
  <si>
    <t>para_barra</t>
  </si>
  <si>
    <t>r_lt</t>
  </si>
  <si>
    <t>x_lt</t>
  </si>
  <si>
    <t>y_lt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</si>
</sst>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pane xSplit="2" topLeftCell="C1" activePane="topRight" state="frozen"/>
      <selection pane="topRight" activeCell="G4" sqref="G4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1" t="s">
        <v>8</v>
      </c>
      <c r="C2" s="2">
        <v>1.05</v>
      </c>
      <c r="D2" s="2"/>
      <c r="E2" s="2">
        <f>(G3+G4)/2</f>
        <v>0.53500000000000003</v>
      </c>
      <c r="F2" s="2"/>
      <c r="G2" s="2">
        <v>0</v>
      </c>
      <c r="H2" s="2">
        <v>0</v>
      </c>
    </row>
    <row r="3" spans="1:8" x14ac:dyDescent="0.2">
      <c r="A3" s="2">
        <v>2</v>
      </c>
      <c r="B3" s="1" t="s">
        <v>9</v>
      </c>
      <c r="C3" s="2"/>
      <c r="D3" s="2"/>
      <c r="E3" s="2">
        <v>0</v>
      </c>
      <c r="F3" s="2">
        <v>0</v>
      </c>
      <c r="G3" s="2">
        <v>0.62</v>
      </c>
      <c r="H3" s="2">
        <v>0.34</v>
      </c>
    </row>
    <row r="4" spans="1:8" x14ac:dyDescent="0.2">
      <c r="A4" s="2">
        <v>3</v>
      </c>
      <c r="B4" s="1" t="s">
        <v>9</v>
      </c>
      <c r="C4" s="2"/>
      <c r="D4" s="2"/>
      <c r="E4" s="2">
        <v>0</v>
      </c>
      <c r="F4" s="2">
        <v>0</v>
      </c>
      <c r="G4" s="2">
        <v>0.45</v>
      </c>
      <c r="H4" s="2">
        <v>0.24</v>
      </c>
    </row>
    <row r="5" spans="1:8" x14ac:dyDescent="0.2">
      <c r="A5" s="2">
        <v>4</v>
      </c>
      <c r="B5" s="1" t="s">
        <v>10</v>
      </c>
      <c r="C5" s="2">
        <v>1.05</v>
      </c>
      <c r="D5" s="2">
        <v>0</v>
      </c>
      <c r="E5" s="2"/>
      <c r="F5" s="2"/>
      <c r="G5" s="2">
        <v>0</v>
      </c>
      <c r="H5" s="2">
        <v>0</v>
      </c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  <row r="34" spans="1:8" x14ac:dyDescent="0.2">
      <c r="A34" s="1"/>
      <c r="B34" s="1"/>
      <c r="C34" s="1"/>
      <c r="D34" s="1"/>
      <c r="E34" s="1"/>
      <c r="F34" s="1"/>
      <c r="G34" s="1"/>
      <c r="H34" s="1"/>
    </row>
    <row r="35" spans="1:8" x14ac:dyDescent="0.2">
      <c r="A35" s="1"/>
      <c r="B35" s="1"/>
      <c r="C35" s="1"/>
      <c r="D35" s="1"/>
      <c r="E35" s="1"/>
      <c r="F35" s="1"/>
      <c r="G35" s="1"/>
      <c r="H35" s="1"/>
    </row>
    <row r="36" spans="1:8" x14ac:dyDescent="0.2">
      <c r="A36" s="1"/>
      <c r="B36" s="1"/>
      <c r="C36" s="1"/>
      <c r="D36" s="1"/>
      <c r="E36" s="1"/>
      <c r="F36" s="1"/>
      <c r="G36" s="1"/>
      <c r="H36" s="1"/>
    </row>
    <row r="37" spans="1:8" x14ac:dyDescent="0.2">
      <c r="A37" s="1"/>
      <c r="B37" s="1"/>
      <c r="C37" s="1"/>
      <c r="D37" s="1"/>
      <c r="E37" s="1"/>
      <c r="F37" s="1"/>
      <c r="G37" s="1"/>
      <c r="H37" s="1"/>
    </row>
    <row r="38" spans="1:8" x14ac:dyDescent="0.2">
      <c r="A38" s="1"/>
      <c r="B38" s="1"/>
      <c r="C38" s="1"/>
      <c r="D38" s="1"/>
      <c r="E38" s="1"/>
      <c r="F38" s="1"/>
      <c r="G38" s="1"/>
      <c r="H38" s="1"/>
    </row>
    <row r="39" spans="1:8" x14ac:dyDescent="0.2">
      <c r="A39" s="1"/>
      <c r="B39" s="1"/>
      <c r="C39" s="1"/>
      <c r="D39" s="1"/>
      <c r="E39" s="1"/>
      <c r="F39" s="1"/>
      <c r="G39" s="1"/>
      <c r="H39" s="1"/>
    </row>
    <row r="40" spans="1:8" x14ac:dyDescent="0.2">
      <c r="A40" s="1"/>
      <c r="B40" s="1"/>
      <c r="C40" s="1"/>
      <c r="D40" s="1"/>
      <c r="E40" s="1"/>
      <c r="F40" s="1"/>
      <c r="G40" s="1"/>
      <c r="H40" s="1"/>
    </row>
    <row r="41" spans="1:8" x14ac:dyDescent="0.2">
      <c r="A41" s="1"/>
      <c r="B41" s="1"/>
      <c r="C41" s="1"/>
      <c r="D41" s="1"/>
      <c r="E41" s="1"/>
      <c r="F41" s="1"/>
      <c r="G41" s="1"/>
      <c r="H41" s="1"/>
    </row>
    <row r="42" spans="1:8" x14ac:dyDescent="0.2">
      <c r="A42" s="1"/>
      <c r="B42" s="1"/>
      <c r="C42" s="1"/>
      <c r="D42" s="1"/>
      <c r="E42" s="1"/>
      <c r="F42" s="1"/>
      <c r="G42" s="1"/>
      <c r="H42" s="1"/>
    </row>
    <row r="43" spans="1:8" x14ac:dyDescent="0.2">
      <c r="A43" s="1"/>
      <c r="B43" s="1"/>
      <c r="C43" s="1"/>
      <c r="D43" s="1"/>
      <c r="E43" s="1"/>
      <c r="F43" s="1"/>
      <c r="G43" s="1"/>
      <c r="H43" s="1"/>
    </row>
    <row r="44" spans="1:8" x14ac:dyDescent="0.2">
      <c r="A44" s="1"/>
      <c r="B44" s="1"/>
      <c r="C44" s="1"/>
      <c r="D44" s="1"/>
      <c r="E44" s="1"/>
      <c r="F44" s="1"/>
      <c r="G44" s="1"/>
      <c r="H44" s="1"/>
    </row>
    <row r="45" spans="1:8" x14ac:dyDescent="0.2">
      <c r="A45" s="1"/>
      <c r="B45" s="1"/>
      <c r="C45" s="1"/>
      <c r="D45" s="1"/>
      <c r="E45" s="1"/>
      <c r="F45" s="1"/>
      <c r="G45" s="1"/>
      <c r="H45" s="1"/>
    </row>
    <row r="46" spans="1:8" x14ac:dyDescent="0.2">
      <c r="A46" s="1"/>
      <c r="B46" s="1"/>
      <c r="C46" s="1"/>
      <c r="D46" s="1"/>
      <c r="E46" s="1"/>
      <c r="F46" s="1"/>
      <c r="G46" s="1"/>
      <c r="H46" s="1"/>
    </row>
    <row r="47" spans="1:8" x14ac:dyDescent="0.2">
      <c r="A47" s="1"/>
      <c r="B47" s="1"/>
      <c r="C47" s="1"/>
      <c r="D47" s="1"/>
      <c r="E47" s="1"/>
      <c r="F47" s="1"/>
      <c r="G47" s="1"/>
      <c r="H47" s="1"/>
    </row>
    <row r="48" spans="1:8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  <row r="1000" spans="1:8" x14ac:dyDescent="0.2">
      <c r="A1000" s="1"/>
      <c r="B1000" s="1"/>
      <c r="C1000" s="1"/>
      <c r="D1000" s="1"/>
      <c r="E1000" s="1"/>
      <c r="F1000" s="1"/>
      <c r="G1000" s="1"/>
      <c r="H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tabSelected="1" workbookViewId="0">
      <selection activeCell="D6" sqref="D6"/>
    </sheetView>
  </sheetViews>
  <sheetFormatPr defaultColWidth="12.5703125" defaultRowHeight="15.75" customHeight="1" x14ac:dyDescent="0.2"/>
  <sheetData>
    <row r="1" spans="1:5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2">
      <c r="A2" s="3">
        <v>1</v>
      </c>
      <c r="B2" s="3">
        <v>2</v>
      </c>
      <c r="C2" s="3">
        <v>0.03</v>
      </c>
      <c r="D2" s="3">
        <v>0.28000000000000003</v>
      </c>
      <c r="E2" s="3">
        <v>0.02</v>
      </c>
    </row>
    <row r="3" spans="1:5" x14ac:dyDescent="0.2">
      <c r="A3" s="3">
        <v>1</v>
      </c>
      <c r="B3" s="3">
        <v>3</v>
      </c>
      <c r="C3" s="3">
        <f t="shared" ref="C3:D3" si="0">1.2*C2</f>
        <v>3.5999999999999997E-2</v>
      </c>
      <c r="D3" s="3">
        <f t="shared" si="0"/>
        <v>0.33600000000000002</v>
      </c>
      <c r="E3" s="3">
        <v>0.01</v>
      </c>
    </row>
    <row r="4" spans="1:5" x14ac:dyDescent="0.2">
      <c r="A4" s="3">
        <v>2</v>
      </c>
      <c r="B4" s="3">
        <v>3</v>
      </c>
      <c r="C4" s="3">
        <f t="shared" ref="C4:D4" si="1">1.5*C2</f>
        <v>4.4999999999999998E-2</v>
      </c>
      <c r="D4" s="3">
        <f t="shared" si="1"/>
        <v>0.42000000000000004</v>
      </c>
      <c r="E4" s="3">
        <f>E2</f>
        <v>0.02</v>
      </c>
    </row>
    <row r="5" spans="1:5" x14ac:dyDescent="0.2">
      <c r="A5" s="3">
        <v>1</v>
      </c>
      <c r="B5" s="3">
        <v>4</v>
      </c>
      <c r="C5" s="3">
        <f t="shared" ref="C5:D5" si="2">0.6*C2</f>
        <v>1.7999999999999999E-2</v>
      </c>
      <c r="D5" s="3">
        <f t="shared" si="2"/>
        <v>0.16800000000000001</v>
      </c>
      <c r="E5" s="3">
        <f>1.2*E3</f>
        <v>1.2E-2</v>
      </c>
    </row>
    <row r="6" spans="1:5" x14ac:dyDescent="0.2">
      <c r="A6" s="3">
        <v>3</v>
      </c>
      <c r="B6" s="3">
        <v>4</v>
      </c>
      <c r="C6" s="3">
        <f t="shared" ref="C6:D6" si="3">C2</f>
        <v>0.03</v>
      </c>
      <c r="D6" s="3">
        <f t="shared" si="3"/>
        <v>0.28000000000000003</v>
      </c>
      <c r="E6" s="3">
        <f>E3</f>
        <v>0.01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henrique guarines</cp:lastModifiedBy>
  <dcterms:modified xsi:type="dcterms:W3CDTF">2025-11-20T01:58:12Z</dcterms:modified>
</cp:coreProperties>
</file>